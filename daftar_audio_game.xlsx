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fek Suara" sheetId="1" state="visible" r:id="rId3"/>
    <sheet name="Catatan Teknis" sheetId="2" state="visible" r:id="rId4"/>
    <sheet name="Kandidat Tambahan" sheetId="3" state="visible" r:id="rId5"/>
    <sheet name="Asumsi" sheetId="4" state="visible" r:id="rId6"/>
  </sheets>
  <definedNames>
    <definedName function="false" hidden="true" localSheetId="0" name="_xlnm._FilterDatabase" vbProcedure="false">'Efek Suara'!$A$4:$J$21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<sst xmlns="http://schemas.openxmlformats.org/spreadsheetml/2006/main" count="163" uniqueCount="146">
  <si>
    <t xml:space="preserve">Daftar efek suara yang dipakai game saat ini</t>
  </si>
  <si>
    <t xml:space="preserve">Sumber: duel-meriam-english-v6.html. Kolom berwarna biru (Durasi dan Varian) adalah angka perkiraan yang dapat diubah; ukuran dihitung dari lembar Asumsi.</t>
  </si>
  <si>
    <t xml:space="preserve">No</t>
  </si>
  <si>
    <t xml:space="preserve">Nama file usulan</t>
  </si>
  <si>
    <t xml:space="preserve">Dipicu saat</t>
  </si>
  <si>
    <t xml:space="preserve">Durasi sekarang (detik)</t>
  </si>
  <si>
    <t xml:space="preserve">Karakter suara</t>
  </si>
  <si>
    <t xml:space="preserve">Seberapa sering</t>
  </si>
  <si>
    <t xml:space="preserve">Volume relatif (kode saat ini)</t>
  </si>
  <si>
    <t xml:space="preserve">Varian disarankan</t>
  </si>
  <si>
    <t xml:space="preserve">Perkiraan ukuran satu format (KB)</t>
  </si>
  <si>
    <t xml:space="preserve">Catatan</t>
  </si>
  <si>
    <t xml:space="preserve">shoot</t>
  </si>
  <si>
    <t xml:space="preserve">Meriam menembak</t>
  </si>
  <si>
    <t xml:space="preserve">Dentuman tembakan pendek, bunyi "duk" rendah</t>
  </si>
  <si>
    <t xml:space="preserve">Tiap tembakan</t>
  </si>
  <si>
    <t xml:space="preserve">Keras (sekitar 0,35)</t>
  </si>
  <si>
    <t xml:space="preserve">Sering berulang; sediakan beberapa varian.</t>
  </si>
  <si>
    <t xml:space="preserve">boom</t>
  </si>
  <si>
    <t xml:space="preserve">Peluru meledak (kena tanah, kena meriam, atau Bom Udara)</t>
  </si>
  <si>
    <t xml:space="preserve">Ledakan besar, paling keras</t>
  </si>
  <si>
    <t xml:space="preserve">Tiap ledakan, termasuk 6 bom udara</t>
  </si>
  <si>
    <t xml:space="preserve">Paling keras (sekitar 0,5)</t>
  </si>
  <si>
    <t xml:space="preserve">Pertimbangkan versi lebih pelan untuk Bom Udara (enam ledakan beruntun).</t>
  </si>
  <si>
    <t xml:space="preserve">correct</t>
  </si>
  <si>
    <t xml:space="preserve">Jawaban benar</t>
  </si>
  <si>
    <t xml:space="preserve">Dua nada naik, ceria</t>
  </si>
  <si>
    <t xml:space="preserve">Tiap jawaban benar</t>
  </si>
  <si>
    <t xml:space="preserve">Pelan (0,06 sampai 0,18)</t>
  </si>
  <si>
    <t xml:space="preserve">wrong</t>
  </si>
  <si>
    <t xml:space="preserve">Jawaban salah</t>
  </si>
  <si>
    <t xml:space="preserve">Satu nada turun, kasar</t>
  </si>
  <si>
    <t xml:space="preserve">Tiap jawaban salah</t>
  </si>
  <si>
    <t xml:space="preserve">coin</t>
  </si>
  <si>
    <t xml:space="preserve">Koin tiba di dompet, atau pengembalian modal Investasi</t>
  </si>
  <si>
    <t xml:space="preserve">Dua dentingan tinggi</t>
  </si>
  <si>
    <t xml:space="preserve">Tiap koin masuk</t>
  </si>
  <si>
    <t xml:space="preserve">Dipakai di dua situasi; hindari gema panjang di akhir file.</t>
  </si>
  <si>
    <t xml:space="preserve">buy</t>
  </si>
  <si>
    <t xml:space="preserve">Beli peluru, Radar, Reload Kilat, atau Investasi</t>
  </si>
  <si>
    <t xml:space="preserve">Dua nada pendek</t>
  </si>
  <si>
    <t xml:space="preserve">Tiap pembelian</t>
  </si>
  <si>
    <t xml:space="preserve">Satu nama untuk empat jenis pembelian; boleh dipecah: buy_ammo, buy_power, invest.</t>
  </si>
  <si>
    <t xml:space="preserve">split</t>
  </si>
  <si>
    <t xml:space="preserve">Peluru Tandan pecah di puncak lintasan</t>
  </si>
  <si>
    <t xml:space="preserve">Letupan kecil dengan nada naik</t>
  </si>
  <si>
    <t xml:space="preserve">Tiap Peluru Tandan</t>
  </si>
  <si>
    <t xml:space="preserve">pop</t>
  </si>
  <si>
    <t xml:space="preserve">Tiap serpihan Peluru Tandan mendarat</t>
  </si>
  <si>
    <t xml:space="preserve">Letupan sangat kecil</t>
  </si>
  <si>
    <t xml:space="preserve">Sampai 10 kali berdekatan</t>
  </si>
  <si>
    <t xml:space="preserve">Harus kurang dari 0,1 detik dan pelan karena bisa tumpang-tindih.</t>
  </si>
  <si>
    <t xml:space="preserve">load</t>
  </si>
  <si>
    <t xml:space="preserve">Meriam kosong dibeli peluru, lalu mulai mengisi</t>
  </si>
  <si>
    <t xml:space="preserve">Bunyi mengisi laras, "klak-klak"</t>
  </si>
  <si>
    <t xml:space="preserve">Tiap pengisian dari kosong</t>
  </si>
  <si>
    <t xml:space="preserve">ready</t>
  </si>
  <si>
    <t xml:space="preserve">Pengisian selesai</t>
  </si>
  <si>
    <t xml:space="preserve">Tiap isi ulang selesai</t>
  </si>
  <si>
    <t xml:space="preserve">deny</t>
  </si>
  <si>
    <t xml:space="preserve">Koin kurang atau item tidak bisa dibeli</t>
  </si>
  <si>
    <t xml:space="preserve">Nada rendah penolakan</t>
  </si>
  <si>
    <t xml:space="preserve">Tiap penolakan</t>
  </si>
  <si>
    <t xml:space="preserve">upgrade</t>
  </si>
  <si>
    <t xml:space="preserve">Upgrade meriam</t>
  </si>
  <si>
    <t xml:space="preserve">Empat nada naik (arpeggio), nadanya naik sesuai level</t>
  </si>
  <si>
    <t xml:space="preserve">Tiap upgrade</t>
  </si>
  <si>
    <t xml:space="preserve">Sekarang nada berubah tiap level (Lv 2 sampai 10); buat 3 sampai 4 tingkat atau ubah nada saat dimainkan.</t>
  </si>
  <si>
    <t xml:space="preserve">repair</t>
  </si>
  <si>
    <t xml:space="preserve">Perbaikan atau bangun ulang meriam</t>
  </si>
  <si>
    <t xml:space="preserve">Tiga bunyi logam naik</t>
  </si>
  <si>
    <t xml:space="preserve">Tiap perbaikan</t>
  </si>
  <si>
    <t xml:space="preserve">shield</t>
  </si>
  <si>
    <t xml:space="preserve">Memasang perisai</t>
  </si>
  <si>
    <t xml:space="preserve">Sapuan energi naik, desis halus</t>
  </si>
  <si>
    <t xml:space="preserve">Tiap perisai</t>
  </si>
  <si>
    <t xml:space="preserve">freeze</t>
  </si>
  <si>
    <t xml:space="preserve">Meriam terkena Peluru Es</t>
  </si>
  <si>
    <t xml:space="preserve">Bunyi kaca atau es membeku</t>
  </si>
  <si>
    <t xml:space="preserve">Tiap meriam beku</t>
  </si>
  <si>
    <t xml:space="preserve">siren</t>
  </si>
  <si>
    <t xml:space="preserve">Memanggil Bom Udara</t>
  </si>
  <si>
    <t xml:space="preserve">Sirene empat nada bergantian</t>
  </si>
  <si>
    <t xml:space="preserve">Tiap Bom Udara</t>
  </si>
  <si>
    <t xml:space="preserve">win</t>
  </si>
  <si>
    <t xml:space="preserve">Pertandingan selesai dan ringkasan tampil</t>
  </si>
  <si>
    <t xml:space="preserve">Fanfare empat nada naik</t>
  </si>
  <si>
    <t xml:space="preserve">Sekali per pertandingan</t>
  </si>
  <si>
    <t xml:space="preserve">Ringkasan</t>
  </si>
  <si>
    <t xml:space="preserve">Jumlah efek suara</t>
  </si>
  <si>
    <t xml:space="preserve">Total durasi satu varian tiap efek (detik)</t>
  </si>
  <si>
    <t xml:space="preserve">Total jumlah file varian yang disarankan</t>
  </si>
  <si>
    <t xml:space="preserve">Perkiraan ukuran semua format (KB)</t>
  </si>
  <si>
    <t xml:space="preserve">Pertambahan ukuran HTML bila ditanam base64 (KB)</t>
  </si>
  <si>
    <t xml:space="preserve">Hal yang perlu diperhatikan saat menyiapkan file audio</t>
  </si>
  <si>
    <t xml:space="preserve">Topik</t>
  </si>
  <si>
    <t xml:space="preserve">Rincian dan rekomendasi</t>
  </si>
  <si>
    <t xml:space="preserve">Satu nama dipakai di beberapa tempat</t>
  </si>
  <si>
    <t xml:space="preserve">buy dipakai untuk empat jenis pembelian (peluru, Radar, Reload Kilat, Investasi) dan coin untuk koin tiba serta pengembalian modal Investasi. boom dipakai untuk semua ledakan, termasuk Bom Udara; pertimbangkan versi lebih pelan untuk bom udara.</t>
  </si>
  <si>
    <t xml:space="preserve">Varian agar tidak membosankan</t>
  </si>
  <si>
    <t xml:space="preserve">shoot, boom, pop, correct, dan coin sering berbunyi berulang. Idealnya 2 sampai 4 varian untuk shoot dan boom, serta 2 varian untuk pop dan coin.</t>
  </si>
  <si>
    <t xml:space="preserve">Upgrade per level</t>
  </si>
  <si>
    <t xml:space="preserve">Sekarang nada upgrade naik sesuai level (Lv 2 sampai 10). Dengan file, buat 3 sampai 4 tingkat (awal, menengah, tinggi, Lv 10 spesial) atau satu file dengan pengubahan nada saat dimainkan.</t>
  </si>
  <si>
    <t xml:space="preserve">Efek yang tumpang-tindih</t>
  </si>
  <si>
    <t xml:space="preserve">pop bisa berbunyi sampai 10 kali hampir bersamaan: harus kurang dari 0,1 detik dan pelan. coin dan boom sering bertemu efek lain: hindari bagian sunyi atau gema panjang di akhir file.</t>
  </si>
  <si>
    <t xml:space="preserve">Takaran volume</t>
  </si>
  <si>
    <t xml:space="preserve">boom paling keras (sekitar 0,5), shoot sekitar 0,35, efek lain 0,06 sampai 0,18. Normalkan tiap file agar perbandingan ini terjaga, atau siapkan pengatur volume per file di kode.</t>
  </si>
  <si>
    <t xml:space="preserve">Format</t>
  </si>
  <si>
    <t xml:space="preserve">Mono, 44,1 kHz, .ogg dan .mp3 (cadangan untuk Safari). Untuk efek di bawah 1 detik, ukuran total sekitar 200 sampai 500 KB (lihat perkiraan di lembar Efek Suara).</t>
  </si>
  <si>
    <t xml:space="preserve">Cara dimasukkan ke game</t>
  </si>
  <si>
    <t xml:space="preserve">Game ini satu file HTML dan sering dibuka dari komputer lokal, jadi disarankan menanam audio sebagai data base64 di dalam HTML, bukan folder terpisah. Chrome sering menolak memuat file audio dari folder saat halaman dibuka lewat file://. File HTML membesar sekitar sepertiga dari total ukuran audio.</t>
  </si>
  <si>
    <t xml:space="preserve">Pengatur suara</t>
  </si>
  <si>
    <t xml:space="preserve">Pengatur suara di menu dan tombol suara akan tetap berfungsi dengan file audio.</t>
  </si>
  <si>
    <t xml:space="preserve">Audio yang belum ada di game sekarang (kandidat tambahan)</t>
  </si>
  <si>
    <t xml:space="preserve">Kandidat</t>
  </si>
  <si>
    <t xml:space="preserve">Keterangan</t>
  </si>
  <si>
    <t xml:space="preserve">Musik latar menu dan permainan</t>
  </si>
  <si>
    <t xml:space="preserve">Belum ada musik sama sekali.</t>
  </si>
  <si>
    <t xml:space="preserve">Klik tombol atau menu</t>
  </si>
  <si>
    <t xml:space="preserve">Tidak ada suara antarmuka.</t>
  </si>
  <si>
    <t xml:space="preserve">Ketukan saat menyeret meriam</t>
  </si>
  <si>
    <t xml:space="preserve">Umpan balik saat mengatur sudut dengan seret.</t>
  </si>
  <si>
    <t xml:space="preserve">Peringatan sisa waktu</t>
  </si>
  <si>
    <t xml:space="preserve">Belum ada suara untuk batas waktu.</t>
  </si>
  <si>
    <t xml:space="preserve">Dentuman meriam hancur</t>
  </si>
  <si>
    <t xml:space="preserve">Meriam hancur memakai boom yang sama dengan ledakan lain.</t>
  </si>
  <si>
    <t xml:space="preserve">Suara angin</t>
  </si>
  <si>
    <t xml:space="preserve">Belum ada suara lingkungan.</t>
  </si>
  <si>
    <t xml:space="preserve">Asumsi dan sumber angka</t>
  </si>
  <si>
    <t xml:space="preserve">Sel berwarna biru dapat diubah; seluruh perhitungan ukuran pada lembar "Efek Suara" mengikuti sel ini.</t>
  </si>
  <si>
    <t xml:space="preserve">Parameter</t>
  </si>
  <si>
    <t xml:space="preserve">Nilai</t>
  </si>
  <si>
    <t xml:space="preserve">Keterangan / sumber</t>
  </si>
  <si>
    <t xml:space="preserve">Bitrate efek suara (kbps)</t>
  </si>
  <si>
    <t xml:space="preserve">Asumsi saya: .ogg mono sekitar 128 kbps. Bukan hasil pengukuran file.</t>
  </si>
  <si>
    <t xml:space="preserve">Ukuran per detik audio (KB/detik)</t>
  </si>
  <si>
    <t xml:space="preserve">Rumus: kbps dibagi 8 (bit menjadi byte).</t>
  </si>
  <si>
    <t xml:space="preserve">Jumlah format yang disertakan</t>
  </si>
  <si>
    <t xml:space="preserve">.ogg dan .mp3 (cadangan untuk Safari), sesuai jawaban sebelumnya.</t>
  </si>
  <si>
    <t xml:space="preserve">Pertambahan ukuran bila ditanam base64 (rasio)</t>
  </si>
  <si>
    <t xml:space="preserve">Encoding base64 menambah sekitar sepertiga ukuran data.</t>
  </si>
  <si>
    <t xml:space="preserve">Catatan sumber data</t>
  </si>
  <si>
    <t xml:space="preserve">Daftar 17 efek, pemicu, dan durasi diambil dari objek sfx pada duel-meriam-english-v6.html (sintesis gelombang dengan tone dan noise).</t>
  </si>
  <si>
    <t xml:space="preserve">Durasi pada kolom D adalah perkiraan dari jumlah panjang nada dan derau di kode, bukan hasil pengukuran suara.</t>
  </si>
  <si>
    <t xml:space="preserve">Jumlah varian disarankan (kolom H) adalah usulan; ubah sesuai kebutuhan Anda.</t>
  </si>
  <si>
    <t xml:space="preserve">Volume relatif berasal dari angka volume di kode: boom sekitar 0,5, shoot sekitar 0,35, efek lain 0,06 sampai 0,18.</t>
  </si>
</sst>
</file>

<file path=xl/styles.xml><?xml version="1.0" encoding="utf-8"?>
<styleSheet xmlns="http://schemas.openxmlformats.org/spreadsheetml/2006/main">
  <numFmts count="4">
    <numFmt numFmtId="164" formatCode="General"/>
    <numFmt numFmtId="165" formatCode="0.00"/>
    <numFmt numFmtId="166" formatCode="0.0"/>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b val="true"/>
      <sz val="11"/>
      <name val="Arial"/>
      <family val="0"/>
      <charset val="1"/>
    </font>
    <font>
      <b val="true"/>
      <sz val="13"/>
      <name val="Arial"/>
      <family val="0"/>
      <charset val="1"/>
    </font>
  </fonts>
  <fills count="3">
    <fill>
      <patternFill patternType="none"/>
    </fill>
    <fill>
      <patternFill patternType="gray125"/>
    </fill>
    <fill>
      <patternFill patternType="solid">
        <fgColor rgb="FF1F3A5F"/>
        <bgColor rgb="FF333333"/>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6" fontId="5" fillId="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7D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38"/>
    <col collapsed="false" customWidth="true" hidden="false" outlineLevel="0" max="4" min="4" style="0" width="13"/>
    <col collapsed="false" customWidth="true" hidden="false" outlineLevel="0" max="5" min="5" style="0" width="36"/>
    <col collapsed="false" customWidth="true" hidden="false" outlineLevel="0" max="6" min="6" style="0" width="26"/>
    <col collapsed="false" customWidth="true" hidden="false" outlineLevel="0" max="7" min="7" style="0" width="22"/>
    <col collapsed="false" customWidth="true" hidden="false" outlineLevel="0" max="8" min="8" style="0" width="12"/>
    <col collapsed="false" customWidth="true" hidden="false" outlineLevel="0" max="9" min="9" style="0" width="16"/>
    <col collapsed="false" customWidth="true" hidden="false" outlineLevel="0" max="10" min="10" style="0" width="50"/>
  </cols>
  <sheetData>
    <row r="1" customFormat="false" ht="17.3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3" t="s">
        <v>10</v>
      </c>
      <c r="J4" s="3" t="s">
        <v>11</v>
      </c>
    </row>
    <row r="5" customFormat="false" ht="23.85" hidden="false" customHeight="false" outlineLevel="0" collapsed="false">
      <c r="A5" s="4" t="n">
        <v>1</v>
      </c>
      <c r="B5" s="5" t="s">
        <v>12</v>
      </c>
      <c r="C5" s="6" t="s">
        <v>13</v>
      </c>
      <c r="D5" s="7" t="n">
        <v>0.25</v>
      </c>
      <c r="E5" s="6" t="s">
        <v>14</v>
      </c>
      <c r="F5" s="6" t="s">
        <v>15</v>
      </c>
      <c r="G5" s="6" t="s">
        <v>16</v>
      </c>
      <c r="H5" s="8" t="n">
        <v>3</v>
      </c>
      <c r="I5" s="9" t="n">
        <f aca="false">D5*H5*Asumsi!$B$5</f>
        <v>12</v>
      </c>
      <c r="J5" s="6" t="s">
        <v>17</v>
      </c>
    </row>
    <row r="6" customFormat="false" ht="23.85" hidden="false" customHeight="false" outlineLevel="0" collapsed="false">
      <c r="A6" s="4" t="n">
        <v>2</v>
      </c>
      <c r="B6" s="5" t="s">
        <v>18</v>
      </c>
      <c r="C6" s="6" t="s">
        <v>19</v>
      </c>
      <c r="D6" s="7" t="n">
        <v>0.7</v>
      </c>
      <c r="E6" s="6" t="s">
        <v>20</v>
      </c>
      <c r="F6" s="6" t="s">
        <v>21</v>
      </c>
      <c r="G6" s="6" t="s">
        <v>22</v>
      </c>
      <c r="H6" s="8" t="n">
        <v>3</v>
      </c>
      <c r="I6" s="9" t="n">
        <f aca="false">D6*H6*Asumsi!$B$5</f>
        <v>33.6</v>
      </c>
      <c r="J6" s="6" t="s">
        <v>23</v>
      </c>
    </row>
    <row r="7" customFormat="false" ht="15" hidden="false" customHeight="false" outlineLevel="0" collapsed="false">
      <c r="A7" s="4" t="n">
        <v>3</v>
      </c>
      <c r="B7" s="5" t="s">
        <v>24</v>
      </c>
      <c r="C7" s="6" t="s">
        <v>25</v>
      </c>
      <c r="D7" s="7" t="n">
        <v>0.3</v>
      </c>
      <c r="E7" s="6" t="s">
        <v>26</v>
      </c>
      <c r="F7" s="6" t="s">
        <v>27</v>
      </c>
      <c r="G7" s="6" t="s">
        <v>28</v>
      </c>
      <c r="H7" s="8" t="n">
        <v>2</v>
      </c>
      <c r="I7" s="9" t="n">
        <f aca="false">D7*H7*Asumsi!$B$5</f>
        <v>9.6</v>
      </c>
      <c r="J7" s="6"/>
    </row>
    <row r="8" customFormat="false" ht="15" hidden="false" customHeight="false" outlineLevel="0" collapsed="false">
      <c r="A8" s="4" t="n">
        <v>4</v>
      </c>
      <c r="B8" s="5" t="s">
        <v>29</v>
      </c>
      <c r="C8" s="6" t="s">
        <v>30</v>
      </c>
      <c r="D8" s="7" t="n">
        <v>0.3</v>
      </c>
      <c r="E8" s="6" t="s">
        <v>31</v>
      </c>
      <c r="F8" s="6" t="s">
        <v>32</v>
      </c>
      <c r="G8" s="6" t="s">
        <v>28</v>
      </c>
      <c r="H8" s="8" t="n">
        <v>1</v>
      </c>
      <c r="I8" s="9" t="n">
        <f aca="false">D8*H8*Asumsi!$B$5</f>
        <v>4.8</v>
      </c>
      <c r="J8" s="6"/>
    </row>
    <row r="9" customFormat="false" ht="23.85" hidden="false" customHeight="false" outlineLevel="0" collapsed="false">
      <c r="A9" s="4" t="n">
        <v>5</v>
      </c>
      <c r="B9" s="5" t="s">
        <v>33</v>
      </c>
      <c r="C9" s="6" t="s">
        <v>34</v>
      </c>
      <c r="D9" s="7" t="n">
        <v>0.27</v>
      </c>
      <c r="E9" s="6" t="s">
        <v>35</v>
      </c>
      <c r="F9" s="6" t="s">
        <v>36</v>
      </c>
      <c r="G9" s="6" t="s">
        <v>28</v>
      </c>
      <c r="H9" s="8" t="n">
        <v>2</v>
      </c>
      <c r="I9" s="9" t="n">
        <f aca="false">D9*H9*Asumsi!$B$5</f>
        <v>8.64</v>
      </c>
      <c r="J9" s="6" t="s">
        <v>37</v>
      </c>
    </row>
    <row r="10" customFormat="false" ht="23.85" hidden="false" customHeight="false" outlineLevel="0" collapsed="false">
      <c r="A10" s="4" t="n">
        <v>6</v>
      </c>
      <c r="B10" s="5" t="s">
        <v>38</v>
      </c>
      <c r="C10" s="6" t="s">
        <v>39</v>
      </c>
      <c r="D10" s="7" t="n">
        <v>0.2</v>
      </c>
      <c r="E10" s="6" t="s">
        <v>40</v>
      </c>
      <c r="F10" s="6" t="s">
        <v>41</v>
      </c>
      <c r="G10" s="6" t="s">
        <v>28</v>
      </c>
      <c r="H10" s="8" t="n">
        <v>1</v>
      </c>
      <c r="I10" s="9" t="n">
        <f aca="false">D10*H10*Asumsi!$B$5</f>
        <v>3.2</v>
      </c>
      <c r="J10" s="6" t="s">
        <v>42</v>
      </c>
    </row>
    <row r="11" customFormat="false" ht="15" hidden="false" customHeight="false" outlineLevel="0" collapsed="false">
      <c r="A11" s="4" t="n">
        <v>7</v>
      </c>
      <c r="B11" s="5" t="s">
        <v>43</v>
      </c>
      <c r="C11" s="6" t="s">
        <v>44</v>
      </c>
      <c r="D11" s="7" t="n">
        <v>0.15</v>
      </c>
      <c r="E11" s="6" t="s">
        <v>45</v>
      </c>
      <c r="F11" s="6" t="s">
        <v>46</v>
      </c>
      <c r="G11" s="6" t="s">
        <v>28</v>
      </c>
      <c r="H11" s="8" t="n">
        <v>1</v>
      </c>
      <c r="I11" s="9" t="n">
        <f aca="false">D11*H11*Asumsi!$B$5</f>
        <v>2.4</v>
      </c>
      <c r="J11" s="6"/>
    </row>
    <row r="12" customFormat="false" ht="23.85" hidden="false" customHeight="false" outlineLevel="0" collapsed="false">
      <c r="A12" s="4" t="n">
        <v>8</v>
      </c>
      <c r="B12" s="5" t="s">
        <v>47</v>
      </c>
      <c r="C12" s="6" t="s">
        <v>48</v>
      </c>
      <c r="D12" s="7" t="n">
        <v>0.05</v>
      </c>
      <c r="E12" s="6" t="s">
        <v>49</v>
      </c>
      <c r="F12" s="6" t="s">
        <v>50</v>
      </c>
      <c r="G12" s="6" t="s">
        <v>28</v>
      </c>
      <c r="H12" s="8" t="n">
        <v>2</v>
      </c>
      <c r="I12" s="9" t="n">
        <f aca="false">D12*H12*Asumsi!$B$5</f>
        <v>1.6</v>
      </c>
      <c r="J12" s="6" t="s">
        <v>51</v>
      </c>
    </row>
    <row r="13" customFormat="false" ht="23.85" hidden="false" customHeight="false" outlineLevel="0" collapsed="false">
      <c r="A13" s="4" t="n">
        <v>9</v>
      </c>
      <c r="B13" s="5" t="s">
        <v>52</v>
      </c>
      <c r="C13" s="6" t="s">
        <v>53</v>
      </c>
      <c r="D13" s="7" t="n">
        <v>0.3</v>
      </c>
      <c r="E13" s="6" t="s">
        <v>54</v>
      </c>
      <c r="F13" s="6" t="s">
        <v>55</v>
      </c>
      <c r="G13" s="6" t="s">
        <v>28</v>
      </c>
      <c r="H13" s="8" t="n">
        <v>1</v>
      </c>
      <c r="I13" s="9" t="n">
        <f aca="false">D13*H13*Asumsi!$B$5</f>
        <v>4.8</v>
      </c>
      <c r="J13" s="6"/>
    </row>
    <row r="14" customFormat="false" ht="15" hidden="false" customHeight="false" outlineLevel="0" collapsed="false">
      <c r="A14" s="4" t="n">
        <v>10</v>
      </c>
      <c r="B14" s="5" t="s">
        <v>56</v>
      </c>
      <c r="C14" s="6" t="s">
        <v>57</v>
      </c>
      <c r="D14" s="7" t="n">
        <v>0.16</v>
      </c>
      <c r="E14" s="6" t="s">
        <v>40</v>
      </c>
      <c r="F14" s="6" t="s">
        <v>58</v>
      </c>
      <c r="G14" s="6" t="s">
        <v>28</v>
      </c>
      <c r="H14" s="8" t="n">
        <v>1</v>
      </c>
      <c r="I14" s="9" t="n">
        <f aca="false">D14*H14*Asumsi!$B$5</f>
        <v>2.56</v>
      </c>
      <c r="J14" s="6"/>
    </row>
    <row r="15" customFormat="false" ht="15" hidden="false" customHeight="false" outlineLevel="0" collapsed="false">
      <c r="A15" s="4" t="n">
        <v>11</v>
      </c>
      <c r="B15" s="5" t="s">
        <v>59</v>
      </c>
      <c r="C15" s="6" t="s">
        <v>60</v>
      </c>
      <c r="D15" s="7" t="n">
        <v>0.2</v>
      </c>
      <c r="E15" s="6" t="s">
        <v>61</v>
      </c>
      <c r="F15" s="6" t="s">
        <v>62</v>
      </c>
      <c r="G15" s="6" t="s">
        <v>28</v>
      </c>
      <c r="H15" s="8" t="n">
        <v>1</v>
      </c>
      <c r="I15" s="9" t="n">
        <f aca="false">D15*H15*Asumsi!$B$5</f>
        <v>3.2</v>
      </c>
      <c r="J15" s="6"/>
    </row>
    <row r="16" customFormat="false" ht="23.85" hidden="false" customHeight="false" outlineLevel="0" collapsed="false">
      <c r="A16" s="4" t="n">
        <v>12</v>
      </c>
      <c r="B16" s="5" t="s">
        <v>63</v>
      </c>
      <c r="C16" s="6" t="s">
        <v>64</v>
      </c>
      <c r="D16" s="7" t="n">
        <v>0.5</v>
      </c>
      <c r="E16" s="6" t="s">
        <v>65</v>
      </c>
      <c r="F16" s="6" t="s">
        <v>66</v>
      </c>
      <c r="G16" s="6" t="s">
        <v>28</v>
      </c>
      <c r="H16" s="8" t="n">
        <v>4</v>
      </c>
      <c r="I16" s="9" t="n">
        <f aca="false">D16*H16*Asumsi!$B$5</f>
        <v>32</v>
      </c>
      <c r="J16" s="6" t="s">
        <v>67</v>
      </c>
    </row>
    <row r="17" customFormat="false" ht="15" hidden="false" customHeight="false" outlineLevel="0" collapsed="false">
      <c r="A17" s="4" t="n">
        <v>13</v>
      </c>
      <c r="B17" s="5" t="s">
        <v>68</v>
      </c>
      <c r="C17" s="6" t="s">
        <v>69</v>
      </c>
      <c r="D17" s="7" t="n">
        <v>0.3</v>
      </c>
      <c r="E17" s="6" t="s">
        <v>70</v>
      </c>
      <c r="F17" s="6" t="s">
        <v>71</v>
      </c>
      <c r="G17" s="6" t="s">
        <v>28</v>
      </c>
      <c r="H17" s="8" t="n">
        <v>1</v>
      </c>
      <c r="I17" s="9" t="n">
        <f aca="false">D17*H17*Asumsi!$B$5</f>
        <v>4.8</v>
      </c>
      <c r="J17" s="6"/>
    </row>
    <row r="18" customFormat="false" ht="15" hidden="false" customHeight="false" outlineLevel="0" collapsed="false">
      <c r="A18" s="4" t="n">
        <v>14</v>
      </c>
      <c r="B18" s="5" t="s">
        <v>72</v>
      </c>
      <c r="C18" s="6" t="s">
        <v>73</v>
      </c>
      <c r="D18" s="7" t="n">
        <v>0.4</v>
      </c>
      <c r="E18" s="6" t="s">
        <v>74</v>
      </c>
      <c r="F18" s="6" t="s">
        <v>75</v>
      </c>
      <c r="G18" s="6" t="s">
        <v>28</v>
      </c>
      <c r="H18" s="8" t="n">
        <v>1</v>
      </c>
      <c r="I18" s="9" t="n">
        <f aca="false">D18*H18*Asumsi!$B$5</f>
        <v>6.4</v>
      </c>
      <c r="J18" s="6"/>
    </row>
    <row r="19" customFormat="false" ht="15" hidden="false" customHeight="false" outlineLevel="0" collapsed="false">
      <c r="A19" s="4" t="n">
        <v>15</v>
      </c>
      <c r="B19" s="5" t="s">
        <v>76</v>
      </c>
      <c r="C19" s="6" t="s">
        <v>77</v>
      </c>
      <c r="D19" s="7" t="n">
        <v>0.4</v>
      </c>
      <c r="E19" s="6" t="s">
        <v>78</v>
      </c>
      <c r="F19" s="6" t="s">
        <v>79</v>
      </c>
      <c r="G19" s="6" t="s">
        <v>28</v>
      </c>
      <c r="H19" s="8" t="n">
        <v>1</v>
      </c>
      <c r="I19" s="9" t="n">
        <f aca="false">D19*H19*Asumsi!$B$5</f>
        <v>6.4</v>
      </c>
      <c r="J19" s="6"/>
    </row>
    <row r="20" customFormat="false" ht="15" hidden="false" customHeight="false" outlineLevel="0" collapsed="false">
      <c r="A20" s="4" t="n">
        <v>16</v>
      </c>
      <c r="B20" s="5" t="s">
        <v>80</v>
      </c>
      <c r="C20" s="6" t="s">
        <v>81</v>
      </c>
      <c r="D20" s="7" t="n">
        <v>0.8</v>
      </c>
      <c r="E20" s="6" t="s">
        <v>82</v>
      </c>
      <c r="F20" s="6" t="s">
        <v>83</v>
      </c>
      <c r="G20" s="6" t="s">
        <v>28</v>
      </c>
      <c r="H20" s="8" t="n">
        <v>1</v>
      </c>
      <c r="I20" s="9" t="n">
        <f aca="false">D20*H20*Asumsi!$B$5</f>
        <v>12.8</v>
      </c>
      <c r="J20" s="6"/>
    </row>
    <row r="21" customFormat="false" ht="15" hidden="false" customHeight="false" outlineLevel="0" collapsed="false">
      <c r="A21" s="4" t="n">
        <v>17</v>
      </c>
      <c r="B21" s="5" t="s">
        <v>84</v>
      </c>
      <c r="C21" s="6" t="s">
        <v>85</v>
      </c>
      <c r="D21" s="7" t="n">
        <v>0.8</v>
      </c>
      <c r="E21" s="6" t="s">
        <v>86</v>
      </c>
      <c r="F21" s="6" t="s">
        <v>87</v>
      </c>
      <c r="G21" s="6" t="s">
        <v>28</v>
      </c>
      <c r="H21" s="8" t="n">
        <v>1</v>
      </c>
      <c r="I21" s="9" t="n">
        <f aca="false">D21*H21*Asumsi!$B$5</f>
        <v>12.8</v>
      </c>
      <c r="J21" s="6"/>
    </row>
    <row r="23" customFormat="false" ht="15" hidden="false" customHeight="false" outlineLevel="0" collapsed="false">
      <c r="B23" s="10" t="s">
        <v>88</v>
      </c>
    </row>
    <row r="24" customFormat="false" ht="15" hidden="false" customHeight="true" outlineLevel="0" collapsed="false">
      <c r="B24" s="6" t="s">
        <v>89</v>
      </c>
      <c r="C24" s="6"/>
      <c r="D24" s="11" t="n">
        <f aca="false">COUNTA(B5:B21)</f>
        <v>17</v>
      </c>
    </row>
    <row r="25" customFormat="false" ht="15" hidden="false" customHeight="true" outlineLevel="0" collapsed="false">
      <c r="B25" s="6" t="s">
        <v>90</v>
      </c>
      <c r="C25" s="6"/>
      <c r="D25" s="12" t="n">
        <f aca="false">SUM(D5:D21)</f>
        <v>6.08</v>
      </c>
    </row>
    <row r="26" customFormat="false" ht="15" hidden="false" customHeight="true" outlineLevel="0" collapsed="false">
      <c r="B26" s="6" t="s">
        <v>91</v>
      </c>
      <c r="C26" s="6"/>
      <c r="D26" s="11" t="n">
        <f aca="false">SUM(H5:H21)</f>
        <v>27</v>
      </c>
    </row>
    <row r="27" customFormat="false" ht="15" hidden="false" customHeight="true" outlineLevel="0" collapsed="false">
      <c r="B27" s="6" t="s">
        <v>10</v>
      </c>
      <c r="C27" s="6"/>
      <c r="D27" s="13" t="n">
        <f aca="false">SUM(I5:I21)</f>
        <v>161.6</v>
      </c>
    </row>
    <row r="28" customFormat="false" ht="15" hidden="false" customHeight="true" outlineLevel="0" collapsed="false">
      <c r="B28" s="6" t="s">
        <v>92</v>
      </c>
      <c r="C28" s="6"/>
      <c r="D28" s="13" t="n">
        <f aca="false">SUM(I5:I21)*Asumsi!$B$6</f>
        <v>323.2</v>
      </c>
    </row>
    <row r="29" customFormat="false" ht="15" hidden="false" customHeight="true" outlineLevel="0" collapsed="false">
      <c r="B29" s="6" t="s">
        <v>93</v>
      </c>
      <c r="C29" s="6"/>
      <c r="D29" s="13" t="n">
        <f aca="false">SUM(I5:I21)*Asumsi!$B$6*Asumsi!$B$7</f>
        <v>430.92256</v>
      </c>
    </row>
  </sheetData>
  <autoFilter ref="A4:J21"/>
  <mergeCells count="6">
    <mergeCell ref="B24:C24"/>
    <mergeCell ref="B25:C25"/>
    <mergeCell ref="B26:C26"/>
    <mergeCell ref="B27:C27"/>
    <mergeCell ref="B28:C28"/>
    <mergeCell ref="B29:C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7.35" hidden="false" customHeight="false" outlineLevel="0" collapsed="false">
      <c r="A1" s="1" t="s">
        <v>94</v>
      </c>
    </row>
    <row r="3" customFormat="false" ht="31.5" hidden="false" customHeight="true" outlineLevel="0" collapsed="false">
      <c r="A3" s="3" t="s">
        <v>95</v>
      </c>
      <c r="B3" s="3" t="s">
        <v>96</v>
      </c>
    </row>
    <row r="4" customFormat="false" ht="61.5" hidden="false" customHeight="true" outlineLevel="0" collapsed="false">
      <c r="A4" s="5" t="s">
        <v>97</v>
      </c>
      <c r="B4" s="6" t="s">
        <v>98</v>
      </c>
    </row>
    <row r="5" customFormat="false" ht="61.5" hidden="false" customHeight="true" outlineLevel="0" collapsed="false">
      <c r="A5" s="5" t="s">
        <v>99</v>
      </c>
      <c r="B5" s="6" t="s">
        <v>100</v>
      </c>
    </row>
    <row r="6" customFormat="false" ht="61.5" hidden="false" customHeight="true" outlineLevel="0" collapsed="false">
      <c r="A6" s="5" t="s">
        <v>101</v>
      </c>
      <c r="B6" s="6" t="s">
        <v>102</v>
      </c>
    </row>
    <row r="7" customFormat="false" ht="61.5" hidden="false" customHeight="true" outlineLevel="0" collapsed="false">
      <c r="A7" s="5" t="s">
        <v>103</v>
      </c>
      <c r="B7" s="6" t="s">
        <v>104</v>
      </c>
    </row>
    <row r="8" customFormat="false" ht="61.5" hidden="false" customHeight="true" outlineLevel="0" collapsed="false">
      <c r="A8" s="5" t="s">
        <v>105</v>
      </c>
      <c r="B8" s="6" t="s">
        <v>106</v>
      </c>
    </row>
    <row r="9" customFormat="false" ht="61.5" hidden="false" customHeight="true" outlineLevel="0" collapsed="false">
      <c r="A9" s="5" t="s">
        <v>107</v>
      </c>
      <c r="B9" s="6" t="s">
        <v>108</v>
      </c>
    </row>
    <row r="10" customFormat="false" ht="61.5" hidden="false" customHeight="true" outlineLevel="0" collapsed="false">
      <c r="A10" s="5" t="s">
        <v>109</v>
      </c>
      <c r="B10" s="6" t="s">
        <v>110</v>
      </c>
    </row>
    <row r="11" customFormat="false" ht="61.5" hidden="false" customHeight="true" outlineLevel="0" collapsed="false">
      <c r="A11" s="5" t="s">
        <v>111</v>
      </c>
      <c r="B11" s="6"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70"/>
  </cols>
  <sheetData>
    <row r="1" customFormat="false" ht="17.35" hidden="false" customHeight="false" outlineLevel="0" collapsed="false">
      <c r="A1" s="1" t="s">
        <v>113</v>
      </c>
    </row>
    <row r="3" customFormat="false" ht="31.5" hidden="false" customHeight="true" outlineLevel="0" collapsed="false">
      <c r="A3" s="3" t="s">
        <v>2</v>
      </c>
      <c r="B3" s="3" t="s">
        <v>114</v>
      </c>
      <c r="C3" s="3" t="s">
        <v>115</v>
      </c>
    </row>
    <row r="4" customFormat="false" ht="15" hidden="false" customHeight="false" outlineLevel="0" collapsed="false">
      <c r="A4" s="4" t="n">
        <v>1</v>
      </c>
      <c r="B4" s="6" t="s">
        <v>116</v>
      </c>
      <c r="C4" s="6" t="s">
        <v>117</v>
      </c>
    </row>
    <row r="5" customFormat="false" ht="15" hidden="false" customHeight="false" outlineLevel="0" collapsed="false">
      <c r="A5" s="4" t="n">
        <v>2</v>
      </c>
      <c r="B5" s="6" t="s">
        <v>118</v>
      </c>
      <c r="C5" s="6" t="s">
        <v>119</v>
      </c>
    </row>
    <row r="6" customFormat="false" ht="15" hidden="false" customHeight="false" outlineLevel="0" collapsed="false">
      <c r="A6" s="4" t="n">
        <v>3</v>
      </c>
      <c r="B6" s="6" t="s">
        <v>120</v>
      </c>
      <c r="C6" s="6" t="s">
        <v>121</v>
      </c>
    </row>
    <row r="7" customFormat="false" ht="15" hidden="false" customHeight="false" outlineLevel="0" collapsed="false">
      <c r="A7" s="4" t="n">
        <v>4</v>
      </c>
      <c r="B7" s="6" t="s">
        <v>122</v>
      </c>
      <c r="C7" s="6" t="s">
        <v>123</v>
      </c>
    </row>
    <row r="8" customFormat="false" ht="15" hidden="false" customHeight="false" outlineLevel="0" collapsed="false">
      <c r="A8" s="4" t="n">
        <v>5</v>
      </c>
      <c r="B8" s="6" t="s">
        <v>124</v>
      </c>
      <c r="C8" s="6" t="s">
        <v>125</v>
      </c>
    </row>
    <row r="9" customFormat="false" ht="15" hidden="false" customHeight="false" outlineLevel="0" collapsed="false">
      <c r="A9" s="4" t="n">
        <v>6</v>
      </c>
      <c r="B9" s="6" t="s">
        <v>126</v>
      </c>
      <c r="C9" s="6"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70"/>
  </cols>
  <sheetData>
    <row r="1" customFormat="false" ht="16.15" hidden="false" customHeight="false" outlineLevel="0" collapsed="false">
      <c r="A1" s="14" t="s">
        <v>128</v>
      </c>
    </row>
    <row r="2" customFormat="false" ht="15" hidden="false" customHeight="false" outlineLevel="0" collapsed="false">
      <c r="A2" s="2" t="s">
        <v>129</v>
      </c>
    </row>
    <row r="3" customFormat="false" ht="31.5" hidden="false" customHeight="true" outlineLevel="0" collapsed="false">
      <c r="A3" s="3" t="s">
        <v>130</v>
      </c>
      <c r="B3" s="3" t="s">
        <v>131</v>
      </c>
      <c r="C3" s="3" t="s">
        <v>132</v>
      </c>
    </row>
    <row r="4" customFormat="false" ht="15" hidden="false" customHeight="false" outlineLevel="0" collapsed="false">
      <c r="A4" s="6" t="s">
        <v>133</v>
      </c>
      <c r="B4" s="15" t="n">
        <v>128</v>
      </c>
      <c r="C4" s="6" t="s">
        <v>134</v>
      </c>
    </row>
    <row r="5" customFormat="false" ht="15" hidden="false" customHeight="false" outlineLevel="0" collapsed="false">
      <c r="A5" s="6" t="s">
        <v>135</v>
      </c>
      <c r="B5" s="16" t="n">
        <f aca="false">B4/8</f>
        <v>16</v>
      </c>
      <c r="C5" s="6" t="s">
        <v>136</v>
      </c>
    </row>
    <row r="6" customFormat="false" ht="15" hidden="false" customHeight="false" outlineLevel="0" collapsed="false">
      <c r="A6" s="6" t="s">
        <v>137</v>
      </c>
      <c r="B6" s="15" t="n">
        <v>2</v>
      </c>
      <c r="C6" s="6" t="s">
        <v>138</v>
      </c>
    </row>
    <row r="7" customFormat="false" ht="15" hidden="false" customHeight="false" outlineLevel="0" collapsed="false">
      <c r="A7" s="6" t="s">
        <v>139</v>
      </c>
      <c r="B7" s="17" t="n">
        <v>1.3333</v>
      </c>
      <c r="C7" s="6" t="s">
        <v>140</v>
      </c>
    </row>
    <row r="9" customFormat="false" ht="15" hidden="false" customHeight="false" outlineLevel="0" collapsed="false">
      <c r="A9" s="18" t="s">
        <v>141</v>
      </c>
    </row>
    <row r="10" customFormat="false" ht="30" hidden="false" customHeight="true" outlineLevel="0" collapsed="false">
      <c r="A10" s="19" t="s">
        <v>142</v>
      </c>
      <c r="B10" s="19"/>
      <c r="C10" s="19"/>
    </row>
    <row r="11" customFormat="false" ht="30" hidden="false" customHeight="true" outlineLevel="0" collapsed="false">
      <c r="A11" s="19" t="s">
        <v>143</v>
      </c>
      <c r="B11" s="19"/>
      <c r="C11" s="19"/>
    </row>
    <row r="12" customFormat="false" ht="30" hidden="false" customHeight="true" outlineLevel="0" collapsed="false">
      <c r="A12" s="19" t="s">
        <v>144</v>
      </c>
      <c r="B12" s="19"/>
      <c r="C12" s="19"/>
    </row>
    <row r="13" customFormat="false" ht="30" hidden="false" customHeight="true" outlineLevel="0" collapsed="false">
      <c r="A13" s="19" t="s">
        <v>145</v>
      </c>
      <c r="B13" s="19"/>
      <c r="C13" s="19"/>
    </row>
  </sheetData>
  <mergeCells count="4">
    <mergeCell ref="A10:C10"/>
    <mergeCell ref="A11:C11"/>
    <mergeCell ref="A12:C12"/>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2026-10-10T05:36:42Z</dcterms:created>
  <dc:creator>openpyxl</dc:creator>
  <dc:description/>
  <dc:language>en-US</dc:language>
  <cp:lastModifiedBy/>
  <dcterms:modified xsi:type="dcterms:W3CDTF">2026-10-10T05:36:42Z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